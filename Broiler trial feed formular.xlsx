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0142339fc5a818/配方/Joey/20251124_Broiler/"/>
    </mc:Choice>
  </mc:AlternateContent>
  <xr:revisionPtr revIDLastSave="0" documentId="8_{6E4E6350-8263-8243-BECA-694B0C2532A8}" xr6:coauthVersionLast="47" xr6:coauthVersionMax="47" xr10:uidLastSave="{00000000-0000-0000-0000-000000000000}"/>
  <bookViews>
    <workbookView xWindow="0" yWindow="580" windowWidth="25600" windowHeight="16060" xr2:uid="{A45A2503-E4C9-9544-A1CF-CEF821461F0D}"/>
  </bookViews>
  <sheets>
    <sheet name="一期" sheetId="1" r:id="rId1"/>
    <sheet name="二期" sheetId="2" r:id="rId2"/>
    <sheet name="三期" sheetId="3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H19" i="1"/>
  <c r="D19" i="1"/>
  <c r="F19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Chen</author>
  </authors>
  <commentList>
    <comment ref="H21" authorId="0" shapeId="0" xr:uid="{2EAA63F8-E8D1-5C4D-87BB-4AF6078C9154}">
      <text>
        <r>
          <rPr>
            <sz val="10"/>
            <color rgb="FF000000"/>
            <rFont val="Microsoft JhengHei UI"/>
            <charset val="1"/>
          </rPr>
          <t>降粗蛋白</t>
        </r>
        <r>
          <rPr>
            <sz val="10"/>
            <color rgb="FF000000"/>
            <rFont val="Microsoft JhengHei UI"/>
            <charset val="1"/>
          </rPr>
          <t>1.5%</t>
        </r>
      </text>
    </comment>
    <comment ref="H23" authorId="0" shapeId="0" xr:uid="{2D4E6463-89AE-3B41-8D1B-2974866B4416}">
      <text>
        <r>
          <rPr>
            <sz val="10"/>
            <color rgb="FF000000"/>
            <rFont val="Microsoft JhengHei UI"/>
            <charset val="1"/>
          </rPr>
          <t>原本設計要降</t>
        </r>
        <r>
          <rPr>
            <sz val="10"/>
            <color rgb="FF000000"/>
            <rFont val="Microsoft JhengHei UI"/>
            <charset val="1"/>
          </rPr>
          <t>100kcal/kg</t>
        </r>
        <r>
          <rPr>
            <sz val="10"/>
            <color rgb="FF000000"/>
            <rFont val="Microsoft JhengHei UI"/>
            <charset val="1"/>
          </rPr>
          <t>到</t>
        </r>
        <r>
          <rPr>
            <sz val="10"/>
            <color rgb="FF000000"/>
            <rFont val="Microsoft JhengHei UI"/>
            <charset val="1"/>
          </rPr>
          <t>2975Kcal/kg</t>
        </r>
        <r>
          <rPr>
            <sz val="10"/>
            <color rgb="FF000000"/>
            <rFont val="Microsoft JhengHei UI"/>
            <charset val="1"/>
          </rPr>
          <t>，但實際只能降</t>
        </r>
        <r>
          <rPr>
            <sz val="10"/>
            <color rgb="FF000000"/>
            <rFont val="Microsoft JhengHei UI"/>
            <charset val="1"/>
          </rPr>
          <t>75kcal/kg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Chen</author>
  </authors>
  <commentList>
    <comment ref="H22" authorId="0" shapeId="0" xr:uid="{3B113076-5953-5A4C-B127-8DCB42E66524}">
      <text>
        <r>
          <rPr>
            <b/>
            <sz val="10"/>
            <color rgb="FF000000"/>
            <rFont val="Microsoft JhengHei UI"/>
            <charset val="1"/>
          </rPr>
          <t>降粗蛋白</t>
        </r>
        <r>
          <rPr>
            <b/>
            <sz val="10"/>
            <color rgb="FF000000"/>
            <rFont val="Microsoft JhengHei UI"/>
            <charset val="1"/>
          </rPr>
          <t>1.5%</t>
        </r>
      </text>
    </comment>
    <comment ref="H24" authorId="0" shapeId="0" xr:uid="{57B87EA1-032F-0444-8DC0-91A36B4BD540}">
      <text>
        <r>
          <rPr>
            <b/>
            <sz val="10"/>
            <color rgb="FF000000"/>
            <rFont val="Microsoft JhengHei UI"/>
            <charset val="1"/>
          </rPr>
          <t>降熱量</t>
        </r>
        <r>
          <rPr>
            <b/>
            <sz val="10"/>
            <color rgb="FF000000"/>
            <rFont val="Microsoft JhengHei UI"/>
            <charset val="1"/>
          </rPr>
          <t>100kcal/kg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Chen</author>
  </authors>
  <commentList>
    <comment ref="H22" authorId="0" shapeId="0" xr:uid="{573ECC9B-5C59-0F48-BC93-4B5AFEB09C1B}">
      <text>
        <r>
          <rPr>
            <b/>
            <sz val="10"/>
            <color rgb="FF000000"/>
            <rFont val="Microsoft JhengHei UI"/>
            <charset val="1"/>
          </rPr>
          <t>降粗蛋白</t>
        </r>
        <r>
          <rPr>
            <b/>
            <sz val="10"/>
            <color rgb="FF000000"/>
            <rFont val="Microsoft JhengHei UI"/>
            <charset val="1"/>
          </rPr>
          <t>1.5%</t>
        </r>
      </text>
    </comment>
    <comment ref="H24" authorId="0" shapeId="0" xr:uid="{3CBED55C-75C2-5C4A-A55A-1701F7A38554}">
      <text>
        <r>
          <rPr>
            <sz val="10"/>
            <color rgb="FF000000"/>
            <rFont val="Microsoft JhengHei UI"/>
            <charset val="1"/>
          </rPr>
          <t>降熱能</t>
        </r>
        <r>
          <rPr>
            <sz val="10"/>
            <color rgb="FF000000"/>
            <rFont val="Microsoft JhengHei UI"/>
            <charset val="1"/>
          </rPr>
          <t>100kcal/kg</t>
        </r>
      </text>
    </comment>
  </commentList>
</comments>
</file>

<file path=xl/sharedStrings.xml><?xml version="1.0" encoding="utf-8"?>
<sst xmlns="http://schemas.openxmlformats.org/spreadsheetml/2006/main" count="233" uniqueCount="54">
  <si>
    <r>
      <t>原料</t>
    </r>
    <r>
      <rPr>
        <sz val="12"/>
        <color indexed="17"/>
        <rFont val="Times New Roman"/>
        <family val="1"/>
      </rPr>
      <t xml:space="preserve">                 </t>
    </r>
    <r>
      <rPr>
        <sz val="12"/>
        <color indexed="17"/>
        <rFont val="新細明體"/>
        <family val="1"/>
        <charset val="136"/>
      </rPr>
      <t>料別</t>
    </r>
    <phoneticPr fontId="4" type="noConversion"/>
  </si>
  <si>
    <t>擠壓全脂豆粉(粗蛋白35%)_2025Q3</t>
  </si>
  <si>
    <t xml:space="preserve"> </t>
  </si>
  <si>
    <t>大豆油</t>
  </si>
  <si>
    <t>鈣粉</t>
  </si>
  <si>
    <t>一磷</t>
  </si>
  <si>
    <t>鹽</t>
  </si>
  <si>
    <t>氯化膽鹼60%</t>
  </si>
  <si>
    <t>礦物質</t>
  </si>
  <si>
    <t>維他命</t>
  </si>
  <si>
    <t>DL-蛋胺酸</t>
  </si>
  <si>
    <t>L-羥丁胺酸</t>
  </si>
  <si>
    <t>L-色胺酸</t>
  </si>
  <si>
    <t>L-纈胺酸</t>
  </si>
  <si>
    <t>植酸酶-50000IU</t>
  </si>
  <si>
    <t>小計</t>
    <phoneticPr fontId="4" type="noConversion"/>
  </si>
  <si>
    <t>營養規格</t>
  </si>
  <si>
    <t>%</t>
  </si>
  <si>
    <t>粗蛋白</t>
  </si>
  <si>
    <t>粗脂肪</t>
  </si>
  <si>
    <t>ME-Poultry</t>
  </si>
  <si>
    <t>Kcal/Kg</t>
  </si>
  <si>
    <t>鈣</t>
  </si>
  <si>
    <t>總磷</t>
  </si>
  <si>
    <t>有效磷</t>
  </si>
  <si>
    <t>離胺酸</t>
  </si>
  <si>
    <t>蛋胺酸</t>
  </si>
  <si>
    <t>胱胺酸</t>
  </si>
  <si>
    <t>含硫胺基酸</t>
  </si>
  <si>
    <t>羥丁胺酸</t>
  </si>
  <si>
    <t>色胺酸</t>
  </si>
  <si>
    <t>粗纖維</t>
  </si>
  <si>
    <t>鈉</t>
  </si>
  <si>
    <t>Ｐ</t>
    <phoneticPr fontId="4" type="noConversion"/>
  </si>
  <si>
    <t>植酸酶</t>
    <phoneticPr fontId="3" type="noConversion"/>
  </si>
  <si>
    <t>計算值</t>
    <phoneticPr fontId="3" type="noConversion"/>
  </si>
  <si>
    <t>原料值</t>
    <phoneticPr fontId="4" type="noConversion"/>
  </si>
  <si>
    <t>d.Lys</t>
    <phoneticPr fontId="3" type="noConversion"/>
  </si>
  <si>
    <t>d.TSAA</t>
    <phoneticPr fontId="3" type="noConversion"/>
  </si>
  <si>
    <t>d.Thr</t>
    <phoneticPr fontId="3" type="noConversion"/>
  </si>
  <si>
    <t>d.Trp</t>
    <phoneticPr fontId="3" type="noConversion"/>
  </si>
  <si>
    <t>d.Val</t>
    <phoneticPr fontId="3" type="noConversion"/>
  </si>
  <si>
    <t>AA or ROSS 標準</t>
    <phoneticPr fontId="3" type="noConversion"/>
  </si>
  <si>
    <t xml:space="preserve"> </t>
    <phoneticPr fontId="3" type="noConversion"/>
  </si>
  <si>
    <t>計算值</t>
    <phoneticPr fontId="4" type="noConversion"/>
  </si>
  <si>
    <t>玉米(粗蛋白6.64%)_2025Q3</t>
    <phoneticPr fontId="3" type="noConversion"/>
  </si>
  <si>
    <t>豆粉(粗蛋白44%)_2025Q3</t>
    <phoneticPr fontId="3" type="noConversion"/>
  </si>
  <si>
    <t>L-離胺酸 HCl 99%</t>
    <phoneticPr fontId="3" type="noConversion"/>
  </si>
  <si>
    <t>玉米(粗蛋白6.64%)_2025Q3</t>
  </si>
  <si>
    <t>豆粉(粗蛋白44%)</t>
  </si>
  <si>
    <t>營養規格</t>
    <phoneticPr fontId="4" type="noConversion"/>
  </si>
  <si>
    <t>L-離胺酸 HCl 99%(79.8%)</t>
  </si>
  <si>
    <t>+植酸酶</t>
    <phoneticPr fontId="3" type="noConversion"/>
  </si>
  <si>
    <t>＋植酸酶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</si>
</sst>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4" x14ac:knownFonts="1">
    <font>
      <sz val="12"/>
      <color theme="1"/>
      <name val="PMingLiU"/>
      <family val="2"/>
      <charset val="136"/>
    </font>
    <font>
      <sz val="12"/>
      <color indexed="17"/>
      <name val="新細明體"/>
      <family val="1"/>
      <charset val="136"/>
    </font>
    <font>
      <sz val="12"/>
      <color indexed="17"/>
      <name val="Times New Roman"/>
      <family val="1"/>
    </font>
    <font>
      <sz val="9"/>
      <name val="PMingLiU"/>
      <family val="2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rgb="FFFF0000"/>
      <name val="PMingLiU"/>
      <family val="1"/>
      <charset val="136"/>
    </font>
    <font>
      <b/>
      <sz val="12"/>
      <color rgb="FF0432FF"/>
      <name val="PMingLiU"/>
      <family val="1"/>
      <charset val="136"/>
    </font>
    <font>
      <sz val="10"/>
      <color rgb="FF000000"/>
      <name val="Microsoft JhengHei UI"/>
      <charset val="1"/>
    </font>
    <font>
      <sz val="12"/>
      <color rgb="FFC00000"/>
      <name val="PMingLiU"/>
      <family val="1"/>
      <charset val="136"/>
    </font>
    <font>
      <sz val="12"/>
      <color theme="1"/>
      <name val="新細明體"/>
      <family val="1"/>
      <charset val="136"/>
    </font>
    <font>
      <b/>
      <sz val="12"/>
      <color rgb="FFC00000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0"/>
      <color rgb="FF000000"/>
      <name val="Microsoft JhengHei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2" xfId="0" applyBorder="1">
      <alignment vertical="center"/>
    </xf>
    <xf numFmtId="164" fontId="0" fillId="0" borderId="2" xfId="0" applyNumberFormat="1" applyBorder="1" applyAlignment="1" applyProtection="1">
      <alignment shrinkToFit="1"/>
      <protection hidden="1"/>
    </xf>
    <xf numFmtId="164" fontId="0" fillId="0" borderId="4" xfId="0" applyNumberFormat="1" applyBorder="1" applyAlignment="1" applyProtection="1">
      <alignment shrinkToFit="1"/>
      <protection hidden="1"/>
    </xf>
    <xf numFmtId="164" fontId="0" fillId="0" borderId="4" xfId="0" applyNumberFormat="1" applyBorder="1" applyAlignment="1" applyProtection="1">
      <alignment horizontal="left" shrinkToFit="1"/>
      <protection hidden="1"/>
    </xf>
    <xf numFmtId="49" fontId="1" fillId="0" borderId="2" xfId="0" applyNumberFormat="1" applyFont="1" applyBorder="1" applyAlignment="1" applyProtection="1">
      <alignment horizontal="center" shrinkToFit="1"/>
      <protection hidden="1"/>
    </xf>
    <xf numFmtId="49" fontId="1" fillId="0" borderId="4" xfId="0" applyNumberFormat="1" applyFont="1" applyBorder="1" applyAlignment="1" applyProtection="1">
      <alignment horizontal="center" shrinkToFit="1"/>
      <protection hidden="1"/>
    </xf>
    <xf numFmtId="0" fontId="0" fillId="0" borderId="0" xfId="0" applyAlignment="1">
      <alignment horizontal="center" vertical="center"/>
    </xf>
    <xf numFmtId="164" fontId="0" fillId="0" borderId="4" xfId="0" applyNumberFormat="1" applyBorder="1" applyAlignment="1" applyProtection="1">
      <alignment horizontal="center" shrinkToFit="1"/>
      <protection hidden="1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6" fillId="0" borderId="4" xfId="0" applyNumberFormat="1" applyFont="1" applyBorder="1" applyAlignment="1">
      <alignment horizontal="center" vertical="center"/>
    </xf>
    <xf numFmtId="0" fontId="0" fillId="0" borderId="2" xfId="0" applyBorder="1" applyAlignment="1"/>
    <xf numFmtId="164" fontId="0" fillId="0" borderId="4" xfId="0" applyNumberFormat="1" applyBorder="1">
      <alignment vertical="center"/>
    </xf>
    <xf numFmtId="164" fontId="0" fillId="0" borderId="7" xfId="0" applyNumberFormat="1" applyBorder="1" applyAlignment="1" applyProtection="1">
      <alignment shrinkToFit="1"/>
      <protection hidden="1"/>
    </xf>
    <xf numFmtId="164" fontId="0" fillId="0" borderId="4" xfId="0" applyNumberFormat="1" applyBorder="1" applyAlignment="1" applyProtection="1">
      <alignment horizontal="right" shrinkToFit="1"/>
      <protection hidden="1"/>
    </xf>
    <xf numFmtId="164" fontId="11" fillId="0" borderId="4" xfId="0" applyNumberFormat="1" applyFont="1" applyBorder="1" applyAlignment="1" applyProtection="1">
      <alignment horizontal="center" shrinkToFit="1"/>
      <protection hidden="1"/>
    </xf>
    <xf numFmtId="164" fontId="11" fillId="0" borderId="4" xfId="0" applyNumberFormat="1" applyFont="1" applyBorder="1" applyAlignment="1" applyProtection="1">
      <alignment horizontal="center" vertical="center" shrinkToFit="1"/>
      <protection hidden="1"/>
    </xf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 applyProtection="1">
      <alignment horizontal="center" shrinkToFit="1"/>
      <protection hidden="1"/>
    </xf>
    <xf numFmtId="164" fontId="12" fillId="0" borderId="4" xfId="0" applyNumberFormat="1" applyFont="1" applyBorder="1" applyAlignment="1" applyProtection="1">
      <alignment horizontal="center" shrinkToFit="1"/>
      <protection hidden="1"/>
    </xf>
    <xf numFmtId="0" fontId="12" fillId="0" borderId="0" xfId="0" applyFont="1" applyAlignment="1">
      <alignment horizontal="center" vertical="center"/>
    </xf>
    <xf numFmtId="164" fontId="0" fillId="2" borderId="4" xfId="0" applyNumberFormat="1" applyFill="1" applyBorder="1" applyAlignment="1" applyProtection="1">
      <alignment horizontal="right" shrinkToFit="1"/>
      <protection hidden="1"/>
    </xf>
    <xf numFmtId="164" fontId="0" fillId="2" borderId="4" xfId="0" applyNumberFormat="1" applyFill="1" applyBorder="1" applyAlignment="1" applyProtection="1">
      <alignment shrinkToFit="1"/>
      <protection hidden="1"/>
    </xf>
    <xf numFmtId="164" fontId="0" fillId="2" borderId="4" xfId="0" applyNumberFormat="1" applyFill="1" applyBorder="1" applyAlignment="1" applyProtection="1">
      <alignment horizontal="center" shrinkToFit="1"/>
      <protection hidden="1"/>
    </xf>
    <xf numFmtId="164" fontId="7" fillId="3" borderId="4" xfId="0" applyNumberFormat="1" applyFont="1" applyFill="1" applyBorder="1" applyAlignment="1" applyProtection="1">
      <alignment horizontal="center" shrinkToFit="1"/>
      <protection hidden="1"/>
    </xf>
    <xf numFmtId="164" fontId="0" fillId="3" borderId="4" xfId="0" applyNumberFormat="1" applyFill="1" applyBorder="1" applyAlignment="1" applyProtection="1">
      <alignment shrinkToFit="1"/>
      <protection hidden="1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 applyProtection="1">
      <alignment horizontal="center" shrinkToFit="1"/>
      <protection hidden="1"/>
    </xf>
    <xf numFmtId="0" fontId="11" fillId="0" borderId="0" xfId="0" applyFont="1" applyAlignment="1">
      <alignment horizontal="center" vertical="center"/>
    </xf>
    <xf numFmtId="164" fontId="0" fillId="4" borderId="4" xfId="0" applyNumberFormat="1" applyFill="1" applyBorder="1" applyAlignment="1" applyProtection="1">
      <alignment shrinkToFit="1"/>
      <protection hidden="1"/>
    </xf>
    <xf numFmtId="49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4" fontId="0" fillId="0" borderId="5" xfId="0" applyNumberFormat="1" applyBorder="1" applyAlignment="1" applyProtection="1">
      <alignment shrinkToFit="1"/>
      <protection hidden="1"/>
    </xf>
    <xf numFmtId="164" fontId="0" fillId="0" borderId="2" xfId="0" applyNumberFormat="1" applyBorder="1" applyAlignment="1" applyProtection="1">
      <alignment shrinkToFit="1"/>
      <protection hidden="1"/>
    </xf>
    <xf numFmtId="0" fontId="5" fillId="0" borderId="5" xfId="0" applyFont="1" applyBorder="1" applyAlignment="1"/>
    <xf numFmtId="0" fontId="0" fillId="0" borderId="6" xfId="0" applyBorder="1" applyAlignment="1"/>
    <xf numFmtId="0" fontId="0" fillId="0" borderId="2" xfId="0" applyBorder="1" applyAlignment="1"/>
    <xf numFmtId="164" fontId="0" fillId="0" borderId="5" xfId="0" applyNumberFormat="1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 applyAlignment="1" applyProtection="1">
      <alignment shrinkToFit="1"/>
      <protection hidden="1"/>
    </xf>
    <xf numFmtId="0" fontId="1" fillId="0" borderId="3" xfId="0" applyFont="1" applyBorder="1" applyAlignment="1" applyProtection="1">
      <alignment shrinkToFit="1"/>
      <protection hidden="1"/>
    </xf>
    <xf numFmtId="0" fontId="10" fillId="0" borderId="5" xfId="0" applyFont="1" applyBorder="1" applyAlignment="1"/>
    <xf numFmtId="0" fontId="9" fillId="0" borderId="4" xfId="0" applyFont="1" applyBorder="1" applyAlignment="1">
      <alignment horizontal="center" vertical="center" wrapText="1"/>
    </xf>
    <xf numFmtId="0" fontId="0" fillId="0" borderId="6" xfId="0" applyFont="1" applyBorder="1" applyAlignment="1"/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AFF4-9DE9-0B46-B198-41A6A4B46EDB}">
  <dimension ref="A1:H40"/>
  <sheetViews>
    <sheetView tabSelected="1" workbookViewId="0">
      <selection activeCell="A36" sqref="A36:A40"/>
    </sheetView>
  </sheetViews>
  <sheetFormatPr defaultColWidth="10.640625" defaultRowHeight="15" x14ac:dyDescent="0.15"/>
  <cols>
    <col min="1" max="1" width="18.359375" customWidth="1"/>
    <col min="2" max="2" width="13.0390625" customWidth="1"/>
    <col min="3" max="3" width="11.44140625" style="21" customWidth="1"/>
    <col min="4" max="8" width="10.77734375" style="7"/>
  </cols>
  <sheetData>
    <row r="1" spans="1:8" x14ac:dyDescent="0.15">
      <c r="C1" s="33" t="s">
        <v>42</v>
      </c>
      <c r="D1" s="32" t="s">
        <v>33</v>
      </c>
      <c r="E1" s="7" t="s">
        <v>34</v>
      </c>
      <c r="F1" s="7" t="s">
        <v>43</v>
      </c>
      <c r="G1" s="7" t="s">
        <v>34</v>
      </c>
      <c r="H1" s="7" t="s">
        <v>43</v>
      </c>
    </row>
    <row r="2" spans="1:8" x14ac:dyDescent="0.15">
      <c r="A2" s="41" t="s">
        <v>0</v>
      </c>
      <c r="B2" s="42"/>
      <c r="C2" s="33"/>
      <c r="D2" s="32"/>
      <c r="E2" s="5" t="s">
        <v>35</v>
      </c>
      <c r="F2" s="6" t="s">
        <v>36</v>
      </c>
      <c r="G2" s="6" t="s">
        <v>44</v>
      </c>
      <c r="H2" s="6" t="s">
        <v>36</v>
      </c>
    </row>
    <row r="3" spans="1:8" x14ac:dyDescent="0.15">
      <c r="A3" s="39" t="s">
        <v>45</v>
      </c>
      <c r="B3" s="40"/>
      <c r="C3" s="18"/>
      <c r="D3" s="9">
        <v>474.7</v>
      </c>
      <c r="E3" s="9">
        <v>517.20000000000005</v>
      </c>
      <c r="F3" s="9">
        <v>517.29999999999995</v>
      </c>
      <c r="G3" s="9">
        <v>543.70000000000005</v>
      </c>
      <c r="H3" s="9">
        <v>543.79999999999995</v>
      </c>
    </row>
    <row r="4" spans="1:8" x14ac:dyDescent="0.15">
      <c r="A4" s="39" t="s">
        <v>46</v>
      </c>
      <c r="B4" s="40"/>
      <c r="C4" s="18"/>
      <c r="D4" s="9">
        <v>404</v>
      </c>
      <c r="E4" s="9">
        <v>389</v>
      </c>
      <c r="F4" s="9">
        <v>389</v>
      </c>
      <c r="G4" s="9">
        <v>353</v>
      </c>
      <c r="H4" s="9">
        <v>353</v>
      </c>
    </row>
    <row r="5" spans="1:8" x14ac:dyDescent="0.15">
      <c r="A5" s="39" t="s">
        <v>1</v>
      </c>
      <c r="B5" s="40"/>
      <c r="C5" s="18"/>
      <c r="D5" s="9">
        <v>50</v>
      </c>
      <c r="E5" s="9">
        <v>50</v>
      </c>
      <c r="F5" s="9">
        <v>50</v>
      </c>
      <c r="G5" s="9">
        <v>50</v>
      </c>
      <c r="H5" s="9">
        <v>50</v>
      </c>
    </row>
    <row r="6" spans="1:8" x14ac:dyDescent="0.15">
      <c r="A6" s="39" t="s">
        <v>3</v>
      </c>
      <c r="B6" s="40"/>
      <c r="C6" s="18"/>
      <c r="D6" s="9">
        <v>22</v>
      </c>
      <c r="E6" s="9">
        <v>4</v>
      </c>
      <c r="F6" s="9">
        <v>4</v>
      </c>
      <c r="G6" s="9" t="s">
        <v>2</v>
      </c>
      <c r="H6" s="9" t="s">
        <v>2</v>
      </c>
    </row>
    <row r="7" spans="1:8" x14ac:dyDescent="0.15">
      <c r="A7" s="39" t="s">
        <v>4</v>
      </c>
      <c r="B7" s="40"/>
      <c r="C7" s="18"/>
      <c r="D7" s="9">
        <v>14.7</v>
      </c>
      <c r="E7" s="9">
        <v>13.5</v>
      </c>
      <c r="F7" s="9">
        <v>13.5</v>
      </c>
      <c r="G7" s="9">
        <v>15</v>
      </c>
      <c r="H7" s="9">
        <v>15</v>
      </c>
    </row>
    <row r="8" spans="1:8" x14ac:dyDescent="0.15">
      <c r="A8" s="39" t="s">
        <v>5</v>
      </c>
      <c r="B8" s="40"/>
      <c r="C8" s="18"/>
      <c r="D8" s="9">
        <v>18</v>
      </c>
      <c r="E8" s="9">
        <v>11</v>
      </c>
      <c r="F8" s="9">
        <v>11</v>
      </c>
      <c r="G8" s="9">
        <v>18.5</v>
      </c>
      <c r="H8" s="9">
        <v>18.5</v>
      </c>
    </row>
    <row r="9" spans="1:8" x14ac:dyDescent="0.15">
      <c r="A9" s="39" t="s">
        <v>6</v>
      </c>
      <c r="B9" s="40"/>
      <c r="C9" s="18"/>
      <c r="D9" s="9">
        <v>4</v>
      </c>
      <c r="E9" s="9">
        <v>3.2</v>
      </c>
      <c r="F9" s="9">
        <v>3.2</v>
      </c>
      <c r="G9" s="9">
        <v>4</v>
      </c>
      <c r="H9" s="9">
        <v>4</v>
      </c>
    </row>
    <row r="10" spans="1:8" x14ac:dyDescent="0.15">
      <c r="A10" s="39" t="s">
        <v>7</v>
      </c>
      <c r="B10" s="40"/>
      <c r="C10" s="18"/>
      <c r="D10" s="9">
        <v>1</v>
      </c>
      <c r="E10" s="9">
        <v>1</v>
      </c>
      <c r="F10" s="9">
        <v>1</v>
      </c>
      <c r="G10" s="9">
        <v>1</v>
      </c>
      <c r="H10" s="9">
        <v>1</v>
      </c>
    </row>
    <row r="11" spans="1:8" x14ac:dyDescent="0.15">
      <c r="A11" s="39" t="s">
        <v>8</v>
      </c>
      <c r="B11" s="40"/>
      <c r="C11" s="18"/>
      <c r="D11" s="9">
        <v>1</v>
      </c>
      <c r="E11" s="9">
        <v>1</v>
      </c>
      <c r="F11" s="9">
        <v>1</v>
      </c>
      <c r="G11" s="9">
        <v>1</v>
      </c>
      <c r="H11" s="9">
        <v>1</v>
      </c>
    </row>
    <row r="12" spans="1:8" x14ac:dyDescent="0.15">
      <c r="A12" s="39" t="s">
        <v>9</v>
      </c>
      <c r="B12" s="40"/>
      <c r="C12" s="18"/>
      <c r="D12" s="9">
        <v>1</v>
      </c>
      <c r="E12" s="9">
        <v>1</v>
      </c>
      <c r="F12" s="9">
        <v>1</v>
      </c>
      <c r="G12" s="9">
        <v>1</v>
      </c>
      <c r="H12" s="9">
        <v>1</v>
      </c>
    </row>
    <row r="13" spans="1:8" x14ac:dyDescent="0.15">
      <c r="A13" s="39" t="s">
        <v>47</v>
      </c>
      <c r="B13" s="40"/>
      <c r="C13" s="18"/>
      <c r="D13" s="9">
        <v>2.9</v>
      </c>
      <c r="E13" s="9">
        <v>3</v>
      </c>
      <c r="F13" s="9">
        <v>3</v>
      </c>
      <c r="G13" s="9">
        <v>4.2</v>
      </c>
      <c r="H13" s="9">
        <v>4.2</v>
      </c>
    </row>
    <row r="14" spans="1:8" x14ac:dyDescent="0.15">
      <c r="A14" s="39" t="s">
        <v>10</v>
      </c>
      <c r="B14" s="40"/>
      <c r="C14" s="18"/>
      <c r="D14" s="9">
        <v>4.4000000000000004</v>
      </c>
      <c r="E14" s="9">
        <v>4</v>
      </c>
      <c r="F14" s="9">
        <v>4</v>
      </c>
      <c r="G14" s="9">
        <v>4.8</v>
      </c>
      <c r="H14" s="9">
        <v>4.8</v>
      </c>
    </row>
    <row r="15" spans="1:8" x14ac:dyDescent="0.15">
      <c r="A15" s="39" t="s">
        <v>11</v>
      </c>
      <c r="B15" s="40"/>
      <c r="C15" s="18"/>
      <c r="D15" s="9">
        <v>1.5</v>
      </c>
      <c r="E15" s="9">
        <v>1.3</v>
      </c>
      <c r="F15" s="9">
        <v>1.3</v>
      </c>
      <c r="G15" s="9">
        <v>2</v>
      </c>
      <c r="H15" s="9">
        <v>2</v>
      </c>
    </row>
    <row r="16" spans="1:8" x14ac:dyDescent="0.15">
      <c r="A16" s="39" t="s">
        <v>12</v>
      </c>
      <c r="B16" s="40"/>
      <c r="C16" s="18"/>
      <c r="D16" s="9" t="s">
        <v>2</v>
      </c>
      <c r="E16" s="9" t="s">
        <v>2</v>
      </c>
      <c r="F16" s="9" t="s">
        <v>2</v>
      </c>
      <c r="G16" s="9">
        <v>0.2</v>
      </c>
      <c r="H16" s="9">
        <v>0.2</v>
      </c>
    </row>
    <row r="17" spans="1:8" x14ac:dyDescent="0.15">
      <c r="A17" s="39" t="s">
        <v>13</v>
      </c>
      <c r="B17" s="40"/>
      <c r="C17" s="18"/>
      <c r="D17" s="9">
        <v>0.8</v>
      </c>
      <c r="E17" s="9">
        <v>0.7</v>
      </c>
      <c r="F17" s="9">
        <v>0.7</v>
      </c>
      <c r="G17" s="9">
        <v>1.5</v>
      </c>
      <c r="H17" s="9">
        <v>1.5</v>
      </c>
    </row>
    <row r="18" spans="1:8" x14ac:dyDescent="0.15">
      <c r="A18" s="39" t="s">
        <v>14</v>
      </c>
      <c r="B18" s="40"/>
      <c r="C18" s="18"/>
      <c r="D18" s="9" t="s">
        <v>2</v>
      </c>
      <c r="E18" s="11">
        <v>0.1</v>
      </c>
      <c r="F18" s="9" t="s">
        <v>43</v>
      </c>
      <c r="G18" s="11">
        <v>0.1</v>
      </c>
      <c r="H18" s="9" t="s">
        <v>43</v>
      </c>
    </row>
    <row r="19" spans="1:8" x14ac:dyDescent="0.15">
      <c r="A19" s="34" t="s">
        <v>15</v>
      </c>
      <c r="B19" s="35"/>
      <c r="C19" s="19"/>
      <c r="D19" s="8">
        <f>SUM(D3:D18)</f>
        <v>1000</v>
      </c>
      <c r="E19" s="8">
        <f>SUM(E3:E18)</f>
        <v>1000.0000000000001</v>
      </c>
      <c r="F19" s="8">
        <f>SUM(F3:F18)</f>
        <v>1000</v>
      </c>
      <c r="G19" s="8">
        <f>SUM(G3:G18)</f>
        <v>1000.0000000000001</v>
      </c>
      <c r="H19" s="8">
        <f>SUM(H3:H18)</f>
        <v>1000</v>
      </c>
    </row>
    <row r="20" spans="1:8" x14ac:dyDescent="0.15">
      <c r="A20" s="36" t="s">
        <v>16</v>
      </c>
      <c r="B20" s="37"/>
      <c r="C20" s="37"/>
      <c r="D20" s="38"/>
      <c r="E20" s="10"/>
      <c r="F20" s="10"/>
      <c r="G20" s="10"/>
      <c r="H20" s="10"/>
    </row>
    <row r="21" spans="1:8" x14ac:dyDescent="0.15">
      <c r="A21" s="3" t="s">
        <v>18</v>
      </c>
      <c r="B21" s="3" t="s">
        <v>17</v>
      </c>
      <c r="C21" s="16">
        <v>23</v>
      </c>
      <c r="D21" s="24">
        <v>22.989508000000004</v>
      </c>
      <c r="E21" s="24">
        <v>23.011098000000004</v>
      </c>
      <c r="F21" s="8">
        <v>22.592357235723576</v>
      </c>
      <c r="G21" s="8">
        <v>21.92</v>
      </c>
      <c r="H21" s="25">
        <v>21.502262000000005</v>
      </c>
    </row>
    <row r="22" spans="1:8" x14ac:dyDescent="0.15">
      <c r="A22" s="3" t="s">
        <v>19</v>
      </c>
      <c r="B22" s="3" t="s">
        <v>17</v>
      </c>
      <c r="C22" s="20"/>
      <c r="D22" s="8">
        <v>5.3252510000000006</v>
      </c>
      <c r="E22" s="8">
        <v>3.6382260000000008</v>
      </c>
      <c r="F22" s="8">
        <v>3.6385898589858994</v>
      </c>
      <c r="G22" s="8">
        <v>3.2492440000000005</v>
      </c>
      <c r="H22" s="8">
        <v>3.2492440000000005</v>
      </c>
    </row>
    <row r="23" spans="1:8" x14ac:dyDescent="0.15">
      <c r="A23" s="3" t="s">
        <v>20</v>
      </c>
      <c r="B23" s="3" t="s">
        <v>21</v>
      </c>
      <c r="C23" s="16">
        <v>2975</v>
      </c>
      <c r="D23" s="24">
        <v>2977.4186</v>
      </c>
      <c r="E23" s="24">
        <v>2973.6574999999993</v>
      </c>
      <c r="F23" s="8">
        <v>2921.9496949694967</v>
      </c>
      <c r="G23" s="8">
        <v>2956</v>
      </c>
      <c r="H23" s="25">
        <v>2904.8649</v>
      </c>
    </row>
    <row r="24" spans="1:8" x14ac:dyDescent="0.15">
      <c r="A24" s="3" t="s">
        <v>22</v>
      </c>
      <c r="B24" s="3" t="s">
        <v>17</v>
      </c>
      <c r="C24" s="16">
        <v>0.95</v>
      </c>
      <c r="D24" s="8">
        <v>0.95130200000000009</v>
      </c>
      <c r="E24" s="8">
        <v>0.95154399999999983</v>
      </c>
      <c r="F24" s="8">
        <v>0.78662266226622657</v>
      </c>
      <c r="G24" s="8">
        <v>1.1200000000000001</v>
      </c>
      <c r="H24" s="8">
        <v>0.9596960000000001</v>
      </c>
    </row>
    <row r="25" spans="1:8" x14ac:dyDescent="0.15">
      <c r="A25" s="3" t="s">
        <v>23</v>
      </c>
      <c r="B25" s="3" t="s">
        <v>17</v>
      </c>
      <c r="C25" s="20"/>
      <c r="D25" s="8">
        <v>0.76610800000000001</v>
      </c>
      <c r="E25" s="8">
        <v>0.61887099999999995</v>
      </c>
      <c r="F25" s="8">
        <v>0.61893289328932899</v>
      </c>
      <c r="G25" s="8">
        <v>0.760934</v>
      </c>
      <c r="H25" s="8">
        <v>0.760934</v>
      </c>
    </row>
    <row r="26" spans="1:8" x14ac:dyDescent="0.15">
      <c r="A26" s="3" t="s">
        <v>24</v>
      </c>
      <c r="B26" s="3" t="s">
        <v>17</v>
      </c>
      <c r="C26" s="16">
        <v>0.5</v>
      </c>
      <c r="D26" s="24">
        <v>0.50106200000000001</v>
      </c>
      <c r="E26" s="24">
        <v>0.50217499999999993</v>
      </c>
      <c r="F26" s="8">
        <v>0.35221022102210214</v>
      </c>
      <c r="G26" s="8">
        <v>0.65</v>
      </c>
      <c r="H26" s="24">
        <v>0.50385000000000002</v>
      </c>
    </row>
    <row r="27" spans="1:8" x14ac:dyDescent="0.15">
      <c r="A27" s="3" t="s">
        <v>6</v>
      </c>
      <c r="B27" s="3" t="s">
        <v>17</v>
      </c>
      <c r="C27" s="20"/>
      <c r="D27" s="8">
        <v>0.43081750000000002</v>
      </c>
      <c r="E27" s="8">
        <v>0.35213</v>
      </c>
      <c r="F27" s="8">
        <v>0.35216521652165217</v>
      </c>
      <c r="G27" s="8">
        <v>0.42999500000000002</v>
      </c>
      <c r="H27" s="8">
        <v>0.42999500000000002</v>
      </c>
    </row>
    <row r="28" spans="1:8" x14ac:dyDescent="0.15">
      <c r="A28" s="3" t="s">
        <v>25</v>
      </c>
      <c r="B28" s="3" t="s">
        <v>17</v>
      </c>
      <c r="C28" s="20"/>
      <c r="D28" s="8">
        <v>1.5351540000000001</v>
      </c>
      <c r="E28" s="8">
        <v>1.511984</v>
      </c>
      <c r="F28" s="8">
        <v>1.5121352135213522</v>
      </c>
      <c r="G28" s="8">
        <v>1.5163960000000001</v>
      </c>
      <c r="H28" s="8">
        <v>1.5163960000000001</v>
      </c>
    </row>
    <row r="29" spans="1:8" x14ac:dyDescent="0.15">
      <c r="A29" s="3" t="s">
        <v>26</v>
      </c>
      <c r="B29" s="3" t="s">
        <v>17</v>
      </c>
      <c r="C29" s="20"/>
      <c r="D29" s="8">
        <v>0.76072499999999998</v>
      </c>
      <c r="E29" s="8">
        <v>0.71919999999999995</v>
      </c>
      <c r="F29" s="8">
        <v>0.71927192719271915</v>
      </c>
      <c r="G29" s="8">
        <v>0.7807099999999999</v>
      </c>
      <c r="H29" s="8">
        <v>0.7807099999999999</v>
      </c>
    </row>
    <row r="30" spans="1:8" x14ac:dyDescent="0.15">
      <c r="A30" s="3" t="s">
        <v>27</v>
      </c>
      <c r="B30" s="3" t="s">
        <v>17</v>
      </c>
      <c r="C30" s="20"/>
      <c r="D30" s="8">
        <v>0.34364499999999998</v>
      </c>
      <c r="E30" s="8">
        <v>0.34086999999999995</v>
      </c>
      <c r="F30" s="8">
        <v>0.34090409040904085</v>
      </c>
      <c r="G30" s="8">
        <v>0.32290000000000002</v>
      </c>
      <c r="H30" s="8">
        <v>0.32290000000000002</v>
      </c>
    </row>
    <row r="31" spans="1:8" x14ac:dyDescent="0.15">
      <c r="A31" s="3" t="s">
        <v>28</v>
      </c>
      <c r="B31" s="3" t="s">
        <v>17</v>
      </c>
      <c r="C31" s="20"/>
      <c r="D31" s="8">
        <v>1.1043700000000001</v>
      </c>
      <c r="E31" s="8">
        <v>1.0600699999999998</v>
      </c>
      <c r="F31" s="8">
        <v>1.0601760176017601</v>
      </c>
      <c r="G31" s="8">
        <v>1.10361</v>
      </c>
      <c r="H31" s="8">
        <v>1.10361</v>
      </c>
    </row>
    <row r="32" spans="1:8" x14ac:dyDescent="0.15">
      <c r="A32" s="3" t="s">
        <v>29</v>
      </c>
      <c r="B32" s="3" t="s">
        <v>17</v>
      </c>
      <c r="C32" s="20"/>
      <c r="D32" s="8">
        <v>1.0418349999999998</v>
      </c>
      <c r="E32" s="8">
        <v>1.0065999999999999</v>
      </c>
      <c r="F32" s="8">
        <v>1.0067006700670065</v>
      </c>
      <c r="G32" s="8">
        <v>1.0197700000000001</v>
      </c>
      <c r="H32" s="8">
        <v>1.0197700000000001</v>
      </c>
    </row>
    <row r="33" spans="1:8" x14ac:dyDescent="0.15">
      <c r="A33" s="3" t="s">
        <v>30</v>
      </c>
      <c r="B33" s="3" t="s">
        <v>17</v>
      </c>
      <c r="C33" s="20"/>
      <c r="D33" s="8">
        <v>0.29992199999999997</v>
      </c>
      <c r="E33" s="8">
        <v>0.29332199999999992</v>
      </c>
      <c r="F33" s="8">
        <v>0.2933513351335133</v>
      </c>
      <c r="G33" s="8">
        <v>0.29265799999999997</v>
      </c>
      <c r="H33" s="8">
        <v>0.29265799999999997</v>
      </c>
    </row>
    <row r="34" spans="1:8" x14ac:dyDescent="0.15">
      <c r="A34" s="4" t="s">
        <v>31</v>
      </c>
      <c r="B34" s="4" t="s">
        <v>17</v>
      </c>
      <c r="C34" s="20"/>
      <c r="D34" s="8">
        <v>3.7707719999999991</v>
      </c>
      <c r="E34" s="8">
        <v>3.7931719999999993</v>
      </c>
      <c r="F34" s="8">
        <v>3.7935513551355133</v>
      </c>
      <c r="G34" s="8">
        <v>3.6539080000000004</v>
      </c>
      <c r="H34" s="8">
        <v>3.6539080000000004</v>
      </c>
    </row>
    <row r="35" spans="1:8" x14ac:dyDescent="0.15">
      <c r="A35" s="4" t="s">
        <v>32</v>
      </c>
      <c r="B35" s="4" t="s">
        <v>17</v>
      </c>
      <c r="C35" s="16">
        <v>0.18</v>
      </c>
      <c r="D35" s="24">
        <v>0.17680900000000002</v>
      </c>
      <c r="E35" s="24">
        <v>0.17886200000000002</v>
      </c>
      <c r="F35" s="8">
        <v>0.1438763876387639</v>
      </c>
      <c r="G35" s="8">
        <v>0.21</v>
      </c>
      <c r="H35" s="24">
        <v>0.176598</v>
      </c>
    </row>
    <row r="36" spans="1:8" x14ac:dyDescent="0.15">
      <c r="A36" s="4" t="s">
        <v>37</v>
      </c>
      <c r="B36" s="4" t="s">
        <v>17</v>
      </c>
      <c r="C36" s="16">
        <v>1.32</v>
      </c>
      <c r="D36" s="24">
        <v>1.32</v>
      </c>
      <c r="E36" s="24">
        <v>1.32</v>
      </c>
      <c r="F36" s="8">
        <v>1.3</v>
      </c>
      <c r="G36" s="8">
        <v>1.34</v>
      </c>
      <c r="H36" s="24">
        <v>1.3218239999999999</v>
      </c>
    </row>
    <row r="37" spans="1:8" x14ac:dyDescent="0.15">
      <c r="A37" s="4" t="s">
        <v>38</v>
      </c>
      <c r="B37" s="4" t="s">
        <v>17</v>
      </c>
      <c r="C37" s="16">
        <v>1</v>
      </c>
      <c r="D37" s="24">
        <v>0.99912200000000007</v>
      </c>
      <c r="E37" s="24">
        <v>0.99497200000000008</v>
      </c>
      <c r="F37" s="8">
        <v>0.96</v>
      </c>
      <c r="G37" s="8">
        <v>1.04</v>
      </c>
      <c r="H37" s="24">
        <v>1.005288</v>
      </c>
    </row>
    <row r="38" spans="1:8" x14ac:dyDescent="0.15">
      <c r="A38" s="4" t="s">
        <v>39</v>
      </c>
      <c r="B38" s="4" t="s">
        <v>17</v>
      </c>
      <c r="C38" s="16">
        <v>0.88</v>
      </c>
      <c r="D38" s="24">
        <v>0.8838999999999998</v>
      </c>
      <c r="E38" s="24">
        <v>0.88403999999999983</v>
      </c>
      <c r="F38" s="8">
        <v>0.851125112511251</v>
      </c>
      <c r="G38" s="8">
        <v>0.91</v>
      </c>
      <c r="H38" s="24">
        <v>0.8736799999999999</v>
      </c>
    </row>
    <row r="39" spans="1:8" x14ac:dyDescent="0.15">
      <c r="A39" s="4" t="s">
        <v>40</v>
      </c>
      <c r="B39" s="4" t="s">
        <v>17</v>
      </c>
      <c r="C39" s="16">
        <v>0.2</v>
      </c>
      <c r="D39" s="24">
        <v>0.25431500000000001</v>
      </c>
      <c r="E39" s="24">
        <v>0.26763999999999993</v>
      </c>
      <c r="F39" s="8">
        <v>0.24866486648664862</v>
      </c>
      <c r="G39" s="8">
        <v>0.27</v>
      </c>
      <c r="H39" s="24">
        <v>0.25095000000000001</v>
      </c>
    </row>
    <row r="40" spans="1:8" x14ac:dyDescent="0.15">
      <c r="A40" s="4" t="s">
        <v>41</v>
      </c>
      <c r="B40" s="4" t="s">
        <v>17</v>
      </c>
      <c r="C40" s="16">
        <v>1</v>
      </c>
      <c r="D40" s="24">
        <v>1</v>
      </c>
      <c r="E40" s="24">
        <v>1</v>
      </c>
      <c r="F40" s="8">
        <v>0.98</v>
      </c>
      <c r="G40" s="8">
        <v>1.02</v>
      </c>
      <c r="H40" s="24">
        <v>33.942329999999998</v>
      </c>
    </row>
  </sheetData>
  <mergeCells count="21">
    <mergeCell ref="A6:B6"/>
    <mergeCell ref="A4:B4"/>
    <mergeCell ref="A5:B5"/>
    <mergeCell ref="A2:B2"/>
    <mergeCell ref="A3:B3"/>
    <mergeCell ref="D1:D2"/>
    <mergeCell ref="C1:C2"/>
    <mergeCell ref="A19:B19"/>
    <mergeCell ref="A20:D20"/>
    <mergeCell ref="A18:B18"/>
    <mergeCell ref="A16:B16"/>
    <mergeCell ref="A17:B17"/>
    <mergeCell ref="A14:B14"/>
    <mergeCell ref="A15:B15"/>
    <mergeCell ref="A12:B12"/>
    <mergeCell ref="A13:B13"/>
    <mergeCell ref="A10:B10"/>
    <mergeCell ref="A11:B11"/>
    <mergeCell ref="A8:B8"/>
    <mergeCell ref="A9:B9"/>
    <mergeCell ref="A7:B7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3F49-47B2-3240-9245-40882F7638E6}">
  <dimension ref="A2:H41"/>
  <sheetViews>
    <sheetView topLeftCell="A10" workbookViewId="0">
      <selection activeCell="H22" sqref="H22"/>
    </sheetView>
  </sheetViews>
  <sheetFormatPr defaultColWidth="10.640625" defaultRowHeight="15" x14ac:dyDescent="0.15"/>
  <sheetData>
    <row r="2" spans="1:8" x14ac:dyDescent="0.15">
      <c r="C2" s="44" t="s">
        <v>42</v>
      </c>
      <c r="D2" s="32" t="s">
        <v>33</v>
      </c>
      <c r="E2" s="7" t="s">
        <v>34</v>
      </c>
      <c r="F2" s="7" t="s">
        <v>43</v>
      </c>
      <c r="G2" s="7" t="s">
        <v>34</v>
      </c>
      <c r="H2" s="7" t="s">
        <v>43</v>
      </c>
    </row>
    <row r="3" spans="1:8" x14ac:dyDescent="0.15">
      <c r="A3" s="41" t="s">
        <v>0</v>
      </c>
      <c r="B3" s="42"/>
      <c r="C3" s="44"/>
      <c r="D3" s="32"/>
      <c r="E3" s="5" t="s">
        <v>35</v>
      </c>
      <c r="F3" s="6" t="s">
        <v>36</v>
      </c>
      <c r="G3" s="6" t="s">
        <v>44</v>
      </c>
      <c r="H3" s="6" t="s">
        <v>36</v>
      </c>
    </row>
    <row r="4" spans="1:8" x14ac:dyDescent="0.15">
      <c r="A4" s="39" t="s">
        <v>48</v>
      </c>
      <c r="B4" s="40"/>
      <c r="C4" s="1"/>
      <c r="D4" s="13">
        <v>518</v>
      </c>
      <c r="E4" s="13">
        <v>560.20000000000005</v>
      </c>
      <c r="F4" s="13">
        <v>560.20000000000005</v>
      </c>
      <c r="G4" s="13">
        <v>587.9</v>
      </c>
      <c r="H4" s="13">
        <v>587.9</v>
      </c>
    </row>
    <row r="5" spans="1:8" x14ac:dyDescent="0.15">
      <c r="A5" s="39" t="s">
        <v>49</v>
      </c>
      <c r="B5" s="40"/>
      <c r="C5" s="1"/>
      <c r="D5" s="13">
        <v>367</v>
      </c>
      <c r="E5" s="13">
        <v>351</v>
      </c>
      <c r="F5" s="13">
        <v>351</v>
      </c>
      <c r="G5" s="13">
        <v>315</v>
      </c>
      <c r="H5" s="13">
        <v>315</v>
      </c>
    </row>
    <row r="6" spans="1:8" x14ac:dyDescent="0.15">
      <c r="A6" s="39" t="s">
        <v>1</v>
      </c>
      <c r="B6" s="40"/>
      <c r="C6" s="1"/>
      <c r="D6" s="13">
        <v>50</v>
      </c>
      <c r="E6" s="13">
        <v>50</v>
      </c>
      <c r="F6" s="13">
        <v>50</v>
      </c>
      <c r="G6" s="13">
        <v>50</v>
      </c>
      <c r="H6" s="13">
        <v>50</v>
      </c>
    </row>
    <row r="7" spans="1:8" x14ac:dyDescent="0.15">
      <c r="A7" s="39" t="s">
        <v>3</v>
      </c>
      <c r="B7" s="40"/>
      <c r="C7" s="1"/>
      <c r="D7" s="13">
        <v>25</v>
      </c>
      <c r="E7" s="13">
        <v>8</v>
      </c>
      <c r="F7" s="13">
        <v>8</v>
      </c>
      <c r="G7" s="13" t="s">
        <v>2</v>
      </c>
      <c r="H7" s="13" t="s">
        <v>2</v>
      </c>
    </row>
    <row r="8" spans="1:8" x14ac:dyDescent="0.15">
      <c r="A8" s="39" t="s">
        <v>4</v>
      </c>
      <c r="B8" s="40"/>
      <c r="C8" s="1"/>
      <c r="D8" s="13">
        <v>11</v>
      </c>
      <c r="E8" s="13">
        <v>10</v>
      </c>
      <c r="F8" s="13">
        <v>10</v>
      </c>
      <c r="G8" s="13">
        <v>11</v>
      </c>
      <c r="H8" s="13">
        <v>11</v>
      </c>
    </row>
    <row r="9" spans="1:8" x14ac:dyDescent="0.15">
      <c r="A9" s="39" t="s">
        <v>5</v>
      </c>
      <c r="B9" s="40"/>
      <c r="C9" s="1"/>
      <c r="D9" s="13">
        <v>14.5</v>
      </c>
      <c r="E9" s="13">
        <v>7.4</v>
      </c>
      <c r="F9" s="13">
        <v>7.4</v>
      </c>
      <c r="G9" s="13">
        <v>14.8</v>
      </c>
      <c r="H9" s="13">
        <v>14.8</v>
      </c>
    </row>
    <row r="10" spans="1:8" x14ac:dyDescent="0.15">
      <c r="A10" s="39" t="s">
        <v>6</v>
      </c>
      <c r="B10" s="40"/>
      <c r="C10" s="1"/>
      <c r="D10" s="13">
        <v>4</v>
      </c>
      <c r="E10" s="13">
        <v>3.3</v>
      </c>
      <c r="F10" s="13">
        <v>3.3</v>
      </c>
      <c r="G10" s="13">
        <v>7.6</v>
      </c>
      <c r="H10" s="13">
        <v>7.6</v>
      </c>
    </row>
    <row r="11" spans="1:8" x14ac:dyDescent="0.15">
      <c r="A11" s="39" t="s">
        <v>7</v>
      </c>
      <c r="B11" s="40"/>
      <c r="C11" s="1"/>
      <c r="D11" s="13">
        <v>1</v>
      </c>
      <c r="E11" s="13">
        <v>1</v>
      </c>
      <c r="F11" s="13">
        <v>1</v>
      </c>
      <c r="G11" s="13">
        <v>1</v>
      </c>
      <c r="H11" s="13">
        <v>1</v>
      </c>
    </row>
    <row r="12" spans="1:8" x14ac:dyDescent="0.15">
      <c r="A12" s="39" t="s">
        <v>8</v>
      </c>
      <c r="B12" s="40"/>
      <c r="C12" s="1"/>
      <c r="D12" s="13">
        <v>1</v>
      </c>
      <c r="E12" s="13">
        <v>1</v>
      </c>
      <c r="F12" s="13">
        <v>1</v>
      </c>
      <c r="G12" s="13">
        <v>1</v>
      </c>
      <c r="H12" s="13">
        <v>1</v>
      </c>
    </row>
    <row r="13" spans="1:8" x14ac:dyDescent="0.15">
      <c r="A13" s="39" t="s">
        <v>9</v>
      </c>
      <c r="B13" s="40"/>
      <c r="C13" s="1"/>
      <c r="D13" s="13">
        <v>1</v>
      </c>
      <c r="E13" s="13">
        <v>1</v>
      </c>
      <c r="F13" s="13">
        <v>1</v>
      </c>
      <c r="G13" s="13">
        <v>1</v>
      </c>
      <c r="H13" s="13">
        <v>1</v>
      </c>
    </row>
    <row r="14" spans="1:8" x14ac:dyDescent="0.15">
      <c r="A14" s="39" t="s">
        <v>47</v>
      </c>
      <c r="B14" s="40"/>
      <c r="C14" s="1"/>
      <c r="D14" s="13">
        <v>2.1</v>
      </c>
      <c r="E14" s="13">
        <v>2.2999999999999998</v>
      </c>
      <c r="F14" s="13">
        <v>2.2999999999999998</v>
      </c>
      <c r="G14" s="13">
        <v>3.4</v>
      </c>
      <c r="H14" s="13">
        <v>3.4</v>
      </c>
    </row>
    <row r="15" spans="1:8" x14ac:dyDescent="0.15">
      <c r="A15" s="39" t="s">
        <v>10</v>
      </c>
      <c r="B15" s="40"/>
      <c r="C15" s="1"/>
      <c r="D15" s="13">
        <v>3.9</v>
      </c>
      <c r="E15" s="13">
        <v>3.5</v>
      </c>
      <c r="F15" s="13">
        <v>3.5</v>
      </c>
      <c r="G15" s="13">
        <v>4.2</v>
      </c>
      <c r="H15" s="13">
        <v>4.2</v>
      </c>
    </row>
    <row r="16" spans="1:8" x14ac:dyDescent="0.15">
      <c r="A16" s="39" t="s">
        <v>11</v>
      </c>
      <c r="B16" s="40"/>
      <c r="C16" s="1"/>
      <c r="D16" s="13">
        <v>1.1000000000000001</v>
      </c>
      <c r="E16" s="13">
        <v>0.9</v>
      </c>
      <c r="F16" s="13">
        <v>0.9</v>
      </c>
      <c r="G16" s="13">
        <v>1.7</v>
      </c>
      <c r="H16" s="13">
        <v>1.7</v>
      </c>
    </row>
    <row r="17" spans="1:8" x14ac:dyDescent="0.15">
      <c r="A17" s="39" t="s">
        <v>12</v>
      </c>
      <c r="B17" s="40"/>
      <c r="C17" s="1"/>
      <c r="D17" s="13" t="s">
        <v>2</v>
      </c>
      <c r="E17" s="13" t="s">
        <v>2</v>
      </c>
      <c r="F17" s="13" t="s">
        <v>2</v>
      </c>
      <c r="G17" s="13">
        <v>0.3</v>
      </c>
      <c r="H17" s="13">
        <v>0.3</v>
      </c>
    </row>
    <row r="18" spans="1:8" x14ac:dyDescent="0.15">
      <c r="A18" s="39" t="s">
        <v>13</v>
      </c>
      <c r="B18" s="40"/>
      <c r="C18" s="1"/>
      <c r="D18" s="13">
        <v>0.4</v>
      </c>
      <c r="E18" s="13">
        <v>0.3</v>
      </c>
      <c r="F18" s="13">
        <v>0.3</v>
      </c>
      <c r="G18" s="13">
        <v>1.1000000000000001</v>
      </c>
      <c r="H18" s="13">
        <v>1.1000000000000001</v>
      </c>
    </row>
    <row r="19" spans="1:8" x14ac:dyDescent="0.15">
      <c r="A19" s="39" t="s">
        <v>14</v>
      </c>
      <c r="B19" s="40"/>
      <c r="C19" s="1"/>
      <c r="D19" s="13" t="s">
        <v>2</v>
      </c>
      <c r="E19" s="13">
        <v>0.1</v>
      </c>
      <c r="F19" s="13" t="s">
        <v>2</v>
      </c>
      <c r="G19" s="13">
        <v>0.1</v>
      </c>
      <c r="H19" s="13" t="s">
        <v>2</v>
      </c>
    </row>
    <row r="20" spans="1:8" x14ac:dyDescent="0.15">
      <c r="A20" s="34" t="s">
        <v>15</v>
      </c>
      <c r="B20" s="35"/>
      <c r="C20" s="2"/>
      <c r="D20" s="3">
        <v>1000</v>
      </c>
      <c r="E20" s="14">
        <v>999.99999999999989</v>
      </c>
      <c r="F20" s="3">
        <v>999.89999999999986</v>
      </c>
      <c r="G20" s="3">
        <v>1000.1</v>
      </c>
      <c r="H20" s="3">
        <v>1000</v>
      </c>
    </row>
    <row r="21" spans="1:8" x14ac:dyDescent="0.15">
      <c r="A21" s="43" t="s">
        <v>50</v>
      </c>
      <c r="B21" s="37"/>
      <c r="C21" s="37"/>
      <c r="D21" s="38"/>
      <c r="E21" s="12"/>
      <c r="F21" s="12"/>
      <c r="G21" s="12"/>
      <c r="H21" s="12"/>
    </row>
    <row r="22" spans="1:8" x14ac:dyDescent="0.15">
      <c r="A22" s="3" t="s">
        <v>18</v>
      </c>
      <c r="B22" s="3" t="s">
        <v>17</v>
      </c>
      <c r="C22" s="17">
        <v>21.5</v>
      </c>
      <c r="D22" s="23">
        <v>21.519410000000004</v>
      </c>
      <c r="E22" s="23">
        <v>21.505458000000008</v>
      </c>
      <c r="F22" s="3">
        <v>21.086566656665674</v>
      </c>
      <c r="G22" s="3">
        <v>20.423033696630338</v>
      </c>
      <c r="H22" s="26">
        <v>20.004076000000001</v>
      </c>
    </row>
    <row r="23" spans="1:8" x14ac:dyDescent="0.15">
      <c r="A23" s="3" t="s">
        <v>19</v>
      </c>
      <c r="B23" s="3" t="s">
        <v>17</v>
      </c>
      <c r="C23" s="17"/>
      <c r="D23" s="3">
        <v>5.6762300000000003</v>
      </c>
      <c r="E23" s="3">
        <v>4.085356</v>
      </c>
      <c r="F23" s="3">
        <v>4.0857645764576462</v>
      </c>
      <c r="G23" s="3">
        <v>3.3032666733326672</v>
      </c>
      <c r="H23" s="3">
        <v>3.3035970000000003</v>
      </c>
    </row>
    <row r="24" spans="1:8" x14ac:dyDescent="0.15">
      <c r="A24" s="3" t="s">
        <v>20</v>
      </c>
      <c r="B24" s="3" t="s">
        <v>21</v>
      </c>
      <c r="C24" s="17">
        <v>3050</v>
      </c>
      <c r="D24" s="23">
        <v>3048.6308000000004</v>
      </c>
      <c r="E24" s="23">
        <v>3050.654700000001</v>
      </c>
      <c r="F24" s="3">
        <v>2998.9545954595469</v>
      </c>
      <c r="G24" s="3">
        <v>3002.0674932506749</v>
      </c>
      <c r="H24" s="26">
        <v>2950.3676999999998</v>
      </c>
    </row>
    <row r="25" spans="1:8" x14ac:dyDescent="0.15">
      <c r="A25" s="3" t="s">
        <v>22</v>
      </c>
      <c r="B25" s="3" t="s">
        <v>17</v>
      </c>
      <c r="C25" s="17">
        <v>0.75</v>
      </c>
      <c r="D25" s="3">
        <v>0.75118000000000007</v>
      </c>
      <c r="E25" s="3">
        <v>0.75664400000000021</v>
      </c>
      <c r="F25" s="3">
        <v>0.5917031703170319</v>
      </c>
      <c r="G25" s="3">
        <v>0.91010698930107004</v>
      </c>
      <c r="H25" s="3">
        <v>0.74519800000000003</v>
      </c>
    </row>
    <row r="26" spans="1:8" x14ac:dyDescent="0.15">
      <c r="A26" s="3" t="s">
        <v>23</v>
      </c>
      <c r="B26" s="3" t="s">
        <v>17</v>
      </c>
      <c r="C26" s="17"/>
      <c r="D26" s="3">
        <v>0.67924000000000007</v>
      </c>
      <c r="E26" s="3">
        <v>0.52920600000000007</v>
      </c>
      <c r="F26" s="3">
        <v>0.52925892589258927</v>
      </c>
      <c r="G26" s="3">
        <v>0.66934006599340068</v>
      </c>
      <c r="H26" s="3">
        <v>0.66940699999999997</v>
      </c>
    </row>
    <row r="27" spans="1:8" x14ac:dyDescent="0.15">
      <c r="A27" s="3" t="s">
        <v>24</v>
      </c>
      <c r="B27" s="3" t="s">
        <v>17</v>
      </c>
      <c r="C27" s="17">
        <v>0.42</v>
      </c>
      <c r="D27" s="3">
        <v>0.42120000000000002</v>
      </c>
      <c r="E27" s="3">
        <v>0.41997000000000007</v>
      </c>
      <c r="F27" s="3">
        <v>0.26999699969997004</v>
      </c>
      <c r="G27" s="3">
        <v>0.5695280471952805</v>
      </c>
      <c r="H27" s="3">
        <v>0.41958499999999999</v>
      </c>
    </row>
    <row r="28" spans="1:8" x14ac:dyDescent="0.15">
      <c r="A28" s="3" t="s">
        <v>6</v>
      </c>
      <c r="B28" s="3" t="s">
        <v>17</v>
      </c>
      <c r="C28" s="17"/>
      <c r="D28" s="3">
        <v>0.43005000000000004</v>
      </c>
      <c r="E28" s="3">
        <v>0.36118000000000006</v>
      </c>
      <c r="F28" s="3">
        <v>0.36121612161216127</v>
      </c>
      <c r="G28" s="3">
        <v>0.78461903809619038</v>
      </c>
      <c r="H28" s="3">
        <v>0.78469749999999994</v>
      </c>
    </row>
    <row r="29" spans="1:8" x14ac:dyDescent="0.15">
      <c r="A29" s="3" t="s">
        <v>25</v>
      </c>
      <c r="B29" s="3" t="s">
        <v>17</v>
      </c>
      <c r="C29" s="17"/>
      <c r="D29" s="3">
        <v>1.3809400000000001</v>
      </c>
      <c r="E29" s="3">
        <v>1.3629840000000002</v>
      </c>
      <c r="F29" s="3">
        <v>1.3631203120312034</v>
      </c>
      <c r="G29" s="3">
        <v>1.3595220477952208</v>
      </c>
      <c r="H29" s="3">
        <v>1.3596580000000003</v>
      </c>
    </row>
    <row r="30" spans="1:8" x14ac:dyDescent="0.15">
      <c r="A30" s="3" t="s">
        <v>26</v>
      </c>
      <c r="B30" s="3" t="s">
        <v>17</v>
      </c>
      <c r="C30" s="17"/>
      <c r="D30" s="3">
        <v>0.69676000000000005</v>
      </c>
      <c r="E30" s="3">
        <v>0.65461000000000014</v>
      </c>
      <c r="F30" s="3">
        <v>0.65467546754675476</v>
      </c>
      <c r="G30" s="3">
        <v>0.70641435856414359</v>
      </c>
      <c r="H30" s="3">
        <v>0.70648500000000003</v>
      </c>
    </row>
    <row r="31" spans="1:8" x14ac:dyDescent="0.15">
      <c r="A31" s="3" t="s">
        <v>27</v>
      </c>
      <c r="B31" s="3" t="s">
        <v>17</v>
      </c>
      <c r="C31" s="17"/>
      <c r="D31" s="3">
        <v>0.32756999999999992</v>
      </c>
      <c r="E31" s="3">
        <v>0.32414000000000004</v>
      </c>
      <c r="F31" s="3">
        <v>0.32417241724172419</v>
      </c>
      <c r="G31" s="3">
        <v>0.30630436956304363</v>
      </c>
      <c r="H31" s="3">
        <v>0.30633499999999997</v>
      </c>
    </row>
    <row r="32" spans="1:8" x14ac:dyDescent="0.15">
      <c r="A32" s="3" t="s">
        <v>28</v>
      </c>
      <c r="B32" s="3" t="s">
        <v>17</v>
      </c>
      <c r="C32" s="17"/>
      <c r="D32" s="3">
        <v>1.02433</v>
      </c>
      <c r="E32" s="3">
        <v>0.97875000000000012</v>
      </c>
      <c r="F32" s="3">
        <v>0.97884788478847895</v>
      </c>
      <c r="G32" s="3">
        <v>1.0127187281271872</v>
      </c>
      <c r="H32" s="3">
        <v>1.0128200000000001</v>
      </c>
    </row>
    <row r="33" spans="1:8" x14ac:dyDescent="0.15">
      <c r="A33" s="3" t="s">
        <v>29</v>
      </c>
      <c r="B33" s="3" t="s">
        <v>17</v>
      </c>
      <c r="C33" s="17"/>
      <c r="D33" s="3">
        <v>0.94876000000000005</v>
      </c>
      <c r="E33" s="3">
        <v>0.91171000000000013</v>
      </c>
      <c r="F33" s="3">
        <v>0.91180118011801192</v>
      </c>
      <c r="G33" s="3">
        <v>0.93494150584941482</v>
      </c>
      <c r="H33" s="3">
        <v>0.93503499999999984</v>
      </c>
    </row>
    <row r="34" spans="1:8" x14ac:dyDescent="0.15">
      <c r="A34" s="3" t="s">
        <v>30</v>
      </c>
      <c r="B34" s="3" t="s">
        <v>17</v>
      </c>
      <c r="C34" s="17"/>
      <c r="D34" s="3">
        <v>0.27994999999999992</v>
      </c>
      <c r="E34" s="3">
        <v>0.27272200000000002</v>
      </c>
      <c r="F34" s="3">
        <v>0.27274927492749279</v>
      </c>
      <c r="G34" s="3">
        <v>0.28194580541945802</v>
      </c>
      <c r="H34" s="3">
        <v>0.281974</v>
      </c>
    </row>
    <row r="35" spans="1:8" x14ac:dyDescent="0.15">
      <c r="A35" s="4" t="s">
        <v>31</v>
      </c>
      <c r="B35" s="4" t="s">
        <v>17</v>
      </c>
      <c r="C35" s="17"/>
      <c r="D35" s="15">
        <v>3.6685000000000003</v>
      </c>
      <c r="E35" s="15">
        <v>3.6843720000000011</v>
      </c>
      <c r="F35" s="15">
        <v>3.6847404740474059</v>
      </c>
      <c r="G35" s="15">
        <v>3.5475692430756927</v>
      </c>
      <c r="H35" s="15">
        <v>3.5479240000000001</v>
      </c>
    </row>
    <row r="36" spans="1:8" x14ac:dyDescent="0.15">
      <c r="A36" s="4" t="s">
        <v>32</v>
      </c>
      <c r="B36" s="4" t="s">
        <v>17</v>
      </c>
      <c r="C36" s="17">
        <v>0.18</v>
      </c>
      <c r="D36" s="15">
        <v>0.17558000000000001</v>
      </c>
      <c r="E36" s="15">
        <v>0.18155200000000002</v>
      </c>
      <c r="F36" s="15">
        <v>0.14656665666566659</v>
      </c>
      <c r="G36" s="15">
        <v>0.3524637536246375</v>
      </c>
      <c r="H36" s="15">
        <v>0.31749899999999998</v>
      </c>
    </row>
    <row r="37" spans="1:8" x14ac:dyDescent="0.15">
      <c r="A37" s="4" t="s">
        <v>37</v>
      </c>
      <c r="B37" s="4" t="s">
        <v>17</v>
      </c>
      <c r="C37" s="17">
        <v>1.18</v>
      </c>
      <c r="D37" s="22">
        <v>1.1812400000000001</v>
      </c>
      <c r="E37" s="22">
        <v>1.1856360000000001</v>
      </c>
      <c r="F37" s="15">
        <v>1.1687528752875289</v>
      </c>
      <c r="G37" s="15">
        <v>1.1969223077692228</v>
      </c>
      <c r="H37" s="22">
        <v>1.1800419999999998</v>
      </c>
    </row>
    <row r="38" spans="1:8" x14ac:dyDescent="0.15">
      <c r="A38" s="4" t="s">
        <v>38</v>
      </c>
      <c r="B38" s="4" t="s">
        <v>17</v>
      </c>
      <c r="C38" s="17">
        <v>0.92</v>
      </c>
      <c r="D38" s="22">
        <v>0.92437999999999998</v>
      </c>
      <c r="E38" s="22">
        <v>0.91915200000000019</v>
      </c>
      <c r="F38" s="15">
        <v>0.88024002400240042</v>
      </c>
      <c r="G38" s="15">
        <v>0.95885811418858113</v>
      </c>
      <c r="H38" s="22">
        <v>0.91995399999999994</v>
      </c>
    </row>
    <row r="39" spans="1:8" x14ac:dyDescent="0.15">
      <c r="A39" s="4" t="s">
        <v>39</v>
      </c>
      <c r="B39" s="4" t="s">
        <v>17</v>
      </c>
      <c r="C39" s="17">
        <v>0.8</v>
      </c>
      <c r="D39" s="22">
        <v>0.79976000000000003</v>
      </c>
      <c r="E39" s="22">
        <v>0.79840000000000011</v>
      </c>
      <c r="F39" s="15">
        <v>0.76547654765476558</v>
      </c>
      <c r="G39" s="15">
        <v>0.83105689431056884</v>
      </c>
      <c r="H39" s="22">
        <v>0.79813999999999996</v>
      </c>
    </row>
    <row r="40" spans="1:8" x14ac:dyDescent="0.15">
      <c r="A40" s="4" t="s">
        <v>40</v>
      </c>
      <c r="B40" s="4" t="s">
        <v>17</v>
      </c>
      <c r="C40" s="17">
        <v>0.19</v>
      </c>
      <c r="D40" s="22">
        <v>0.23723999999999998</v>
      </c>
      <c r="E40" s="22">
        <v>0.25002999999999997</v>
      </c>
      <c r="F40" s="15">
        <v>0.23105310531053108</v>
      </c>
      <c r="G40" s="15">
        <v>0.26221877812218775</v>
      </c>
      <c r="H40" s="22">
        <v>0.24324499999999996</v>
      </c>
    </row>
    <row r="41" spans="1:8" x14ac:dyDescent="0.15">
      <c r="A41" s="4" t="s">
        <v>41</v>
      </c>
      <c r="B41" s="4" t="s">
        <v>17</v>
      </c>
      <c r="C41" s="17">
        <v>0.91</v>
      </c>
      <c r="D41" s="22">
        <v>0.91042999999999996</v>
      </c>
      <c r="E41" s="22">
        <v>0.90886200000000039</v>
      </c>
      <c r="F41" s="15">
        <v>0.88595059505950624</v>
      </c>
      <c r="G41" s="15">
        <v>0.9315558444155585</v>
      </c>
      <c r="H41" s="22">
        <v>0.90864900000000004</v>
      </c>
    </row>
  </sheetData>
  <mergeCells count="21">
    <mergeCell ref="C2:C3"/>
    <mergeCell ref="D2:D3"/>
    <mergeCell ref="A3:B3"/>
    <mergeCell ref="A8:B8"/>
    <mergeCell ref="A7:B7"/>
    <mergeCell ref="A5:B5"/>
    <mergeCell ref="A6:B6"/>
    <mergeCell ref="A4:B4"/>
    <mergeCell ref="A13:B13"/>
    <mergeCell ref="A14:B14"/>
    <mergeCell ref="A11:B11"/>
    <mergeCell ref="A12:B12"/>
    <mergeCell ref="A9:B9"/>
    <mergeCell ref="A10:B10"/>
    <mergeCell ref="A15:B15"/>
    <mergeCell ref="A16:B16"/>
    <mergeCell ref="A20:B20"/>
    <mergeCell ref="A21:D21"/>
    <mergeCell ref="A19:B19"/>
    <mergeCell ref="A17:B17"/>
    <mergeCell ref="A18:B18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4D2B-064C-0C4C-992B-4FEB3CDEEA59}">
  <dimension ref="A2:H41"/>
  <sheetViews>
    <sheetView workbookViewId="0">
      <selection activeCell="E3" sqref="E3"/>
    </sheetView>
  </sheetViews>
  <sheetFormatPr defaultColWidth="10.640625" defaultRowHeight="15" x14ac:dyDescent="0.15"/>
  <cols>
    <col min="1" max="1" width="14.3671875" customWidth="1"/>
    <col min="2" max="2" width="10.640625" customWidth="1"/>
    <col min="3" max="3" width="10.77734375" style="29"/>
  </cols>
  <sheetData>
    <row r="2" spans="1:8" x14ac:dyDescent="0.15">
      <c r="C2" s="33" t="s">
        <v>42</v>
      </c>
      <c r="D2" s="32" t="s">
        <v>33</v>
      </c>
      <c r="E2" s="31" t="s">
        <v>53</v>
      </c>
      <c r="F2" s="31" t="s">
        <v>43</v>
      </c>
      <c r="G2" s="31" t="s">
        <v>52</v>
      </c>
      <c r="H2" s="31" t="s">
        <v>43</v>
      </c>
    </row>
    <row r="3" spans="1:8" x14ac:dyDescent="0.15">
      <c r="A3" s="41" t="s">
        <v>0</v>
      </c>
      <c r="B3" s="42"/>
      <c r="C3" s="33"/>
      <c r="D3" s="32"/>
      <c r="E3" s="5" t="s">
        <v>35</v>
      </c>
      <c r="F3" s="6" t="s">
        <v>36</v>
      </c>
      <c r="G3" s="6" t="s">
        <v>44</v>
      </c>
      <c r="H3" s="6" t="s">
        <v>36</v>
      </c>
    </row>
    <row r="4" spans="1:8" x14ac:dyDescent="0.15">
      <c r="A4" s="39" t="s">
        <v>48</v>
      </c>
      <c r="B4" s="40"/>
      <c r="C4" s="27"/>
      <c r="D4" s="13">
        <v>580.79999999999995</v>
      </c>
      <c r="E4" s="13">
        <v>622.6</v>
      </c>
      <c r="F4" s="13">
        <v>622.6</v>
      </c>
      <c r="G4" s="13">
        <v>636.29999999999995</v>
      </c>
      <c r="H4" s="13">
        <v>636.4</v>
      </c>
    </row>
    <row r="5" spans="1:8" x14ac:dyDescent="0.15">
      <c r="A5" s="39" t="s">
        <v>49</v>
      </c>
      <c r="B5" s="40"/>
      <c r="C5" s="27"/>
      <c r="D5" s="13">
        <v>310</v>
      </c>
      <c r="E5" s="13">
        <v>295</v>
      </c>
      <c r="F5" s="13">
        <v>295</v>
      </c>
      <c r="G5" s="13">
        <v>275</v>
      </c>
      <c r="H5" s="13">
        <v>275</v>
      </c>
    </row>
    <row r="6" spans="1:8" x14ac:dyDescent="0.15">
      <c r="A6" s="39" t="s">
        <v>1</v>
      </c>
      <c r="B6" s="40"/>
      <c r="C6" s="27"/>
      <c r="D6" s="13">
        <v>50</v>
      </c>
      <c r="E6" s="13">
        <v>50</v>
      </c>
      <c r="F6" s="13">
        <v>50</v>
      </c>
      <c r="G6" s="13">
        <v>50</v>
      </c>
      <c r="H6" s="13">
        <v>50</v>
      </c>
    </row>
    <row r="7" spans="1:8" x14ac:dyDescent="0.15">
      <c r="A7" s="39" t="s">
        <v>3</v>
      </c>
      <c r="B7" s="40"/>
      <c r="C7" s="27"/>
      <c r="D7" s="13">
        <v>23</v>
      </c>
      <c r="E7" s="13">
        <v>5.5</v>
      </c>
      <c r="F7" s="13">
        <v>5.5</v>
      </c>
      <c r="G7" s="13" t="s">
        <v>2</v>
      </c>
      <c r="H7" s="13" t="s">
        <v>2</v>
      </c>
    </row>
    <row r="8" spans="1:8" x14ac:dyDescent="0.15">
      <c r="A8" s="39" t="s">
        <v>4</v>
      </c>
      <c r="B8" s="40"/>
      <c r="C8" s="27"/>
      <c r="D8" s="13">
        <v>9.6999999999999993</v>
      </c>
      <c r="E8" s="13">
        <v>8.5</v>
      </c>
      <c r="F8" s="13">
        <v>8.5</v>
      </c>
      <c r="G8" s="13">
        <v>9.8000000000000007</v>
      </c>
      <c r="H8" s="13">
        <v>9.8000000000000007</v>
      </c>
    </row>
    <row r="9" spans="1:8" x14ac:dyDescent="0.15">
      <c r="A9" s="39" t="s">
        <v>5</v>
      </c>
      <c r="B9" s="40"/>
      <c r="C9" s="27"/>
      <c r="D9" s="13">
        <v>12</v>
      </c>
      <c r="E9" s="13">
        <v>5</v>
      </c>
      <c r="F9" s="13">
        <v>5</v>
      </c>
      <c r="G9" s="13">
        <v>12.3</v>
      </c>
      <c r="H9" s="13">
        <v>12.3</v>
      </c>
    </row>
    <row r="10" spans="1:8" x14ac:dyDescent="0.15">
      <c r="A10" s="39" t="s">
        <v>6</v>
      </c>
      <c r="B10" s="40"/>
      <c r="C10" s="27"/>
      <c r="D10" s="13">
        <v>4</v>
      </c>
      <c r="E10" s="13">
        <v>3.3</v>
      </c>
      <c r="F10" s="13">
        <v>3.3</v>
      </c>
      <c r="G10" s="13">
        <v>4</v>
      </c>
      <c r="H10" s="13">
        <v>4</v>
      </c>
    </row>
    <row r="11" spans="1:8" x14ac:dyDescent="0.15">
      <c r="A11" s="39" t="s">
        <v>7</v>
      </c>
      <c r="B11" s="40"/>
      <c r="C11" s="27"/>
      <c r="D11" s="13">
        <v>1</v>
      </c>
      <c r="E11" s="13">
        <v>1</v>
      </c>
      <c r="F11" s="13">
        <v>1</v>
      </c>
      <c r="G11" s="13">
        <v>1</v>
      </c>
      <c r="H11" s="13">
        <v>1</v>
      </c>
    </row>
    <row r="12" spans="1:8" x14ac:dyDescent="0.15">
      <c r="A12" s="39" t="s">
        <v>8</v>
      </c>
      <c r="B12" s="40"/>
      <c r="C12" s="27"/>
      <c r="D12" s="13">
        <v>1</v>
      </c>
      <c r="E12" s="13">
        <v>1</v>
      </c>
      <c r="F12" s="13">
        <v>1</v>
      </c>
      <c r="G12" s="13">
        <v>1</v>
      </c>
      <c r="H12" s="13">
        <v>1</v>
      </c>
    </row>
    <row r="13" spans="1:8" x14ac:dyDescent="0.15">
      <c r="A13" s="39" t="s">
        <v>9</v>
      </c>
      <c r="B13" s="40"/>
      <c r="C13" s="27"/>
      <c r="D13" s="13">
        <v>1</v>
      </c>
      <c r="E13" s="13">
        <v>1</v>
      </c>
      <c r="F13" s="13">
        <v>1</v>
      </c>
      <c r="G13" s="13">
        <v>1</v>
      </c>
      <c r="H13" s="13">
        <v>1</v>
      </c>
    </row>
    <row r="14" spans="1:8" x14ac:dyDescent="0.15">
      <c r="A14" s="39" t="s">
        <v>51</v>
      </c>
      <c r="B14" s="40"/>
      <c r="C14" s="27"/>
      <c r="D14" s="13">
        <v>2.2999999999999998</v>
      </c>
      <c r="E14" s="13">
        <v>2.5</v>
      </c>
      <c r="F14" s="13">
        <v>2.5</v>
      </c>
      <c r="G14" s="13">
        <v>3.2</v>
      </c>
      <c r="H14" s="13">
        <v>3.2</v>
      </c>
    </row>
    <row r="15" spans="1:8" x14ac:dyDescent="0.15">
      <c r="A15" s="39" t="s">
        <v>10</v>
      </c>
      <c r="B15" s="40"/>
      <c r="C15" s="27"/>
      <c r="D15" s="13">
        <v>3.7</v>
      </c>
      <c r="E15" s="13">
        <v>3.3</v>
      </c>
      <c r="F15" s="13">
        <v>3.3</v>
      </c>
      <c r="G15" s="13">
        <v>3.9</v>
      </c>
      <c r="H15" s="13">
        <v>3.9</v>
      </c>
    </row>
    <row r="16" spans="1:8" x14ac:dyDescent="0.15">
      <c r="A16" s="39" t="s">
        <v>11</v>
      </c>
      <c r="B16" s="40"/>
      <c r="C16" s="27"/>
      <c r="D16" s="13">
        <v>1</v>
      </c>
      <c r="E16" s="13">
        <v>0.8</v>
      </c>
      <c r="F16" s="13">
        <v>0.8</v>
      </c>
      <c r="G16" s="13">
        <v>1.4</v>
      </c>
      <c r="H16" s="13">
        <v>1.4</v>
      </c>
    </row>
    <row r="17" spans="1:8" x14ac:dyDescent="0.15">
      <c r="A17" s="39" t="s">
        <v>12</v>
      </c>
      <c r="B17" s="40"/>
      <c r="C17" s="27"/>
      <c r="D17" s="13" t="s">
        <v>2</v>
      </c>
      <c r="E17" s="13" t="s">
        <v>2</v>
      </c>
      <c r="F17" s="13" t="s">
        <v>2</v>
      </c>
      <c r="G17" s="13" t="s">
        <v>2</v>
      </c>
      <c r="H17" s="13" t="s">
        <v>2</v>
      </c>
    </row>
    <row r="18" spans="1:8" x14ac:dyDescent="0.15">
      <c r="A18" s="39" t="s">
        <v>13</v>
      </c>
      <c r="B18" s="40"/>
      <c r="C18" s="27"/>
      <c r="D18" s="13">
        <v>0.5</v>
      </c>
      <c r="E18" s="13">
        <v>0.4</v>
      </c>
      <c r="F18" s="13">
        <v>0.4</v>
      </c>
      <c r="G18" s="13">
        <v>1</v>
      </c>
      <c r="H18" s="13">
        <v>1</v>
      </c>
    </row>
    <row r="19" spans="1:8" x14ac:dyDescent="0.15">
      <c r="A19" s="39" t="s">
        <v>14</v>
      </c>
      <c r="B19" s="40"/>
      <c r="C19" s="27"/>
      <c r="D19" s="13" t="s">
        <v>2</v>
      </c>
      <c r="E19" s="13">
        <v>0.1</v>
      </c>
      <c r="F19" s="13" t="s">
        <v>2</v>
      </c>
      <c r="G19" s="13">
        <v>0.1</v>
      </c>
      <c r="H19" s="13" t="s">
        <v>2</v>
      </c>
    </row>
    <row r="20" spans="1:8" x14ac:dyDescent="0.15">
      <c r="A20" s="34" t="s">
        <v>15</v>
      </c>
      <c r="B20" s="35"/>
      <c r="C20" s="28"/>
      <c r="D20" s="3">
        <v>1000</v>
      </c>
      <c r="E20" s="14">
        <v>999.99999999999989</v>
      </c>
      <c r="F20" s="3">
        <v>999.89999999999986</v>
      </c>
      <c r="G20" s="3">
        <v>999.99999999999989</v>
      </c>
      <c r="H20" s="3">
        <v>999.99999999999989</v>
      </c>
    </row>
    <row r="21" spans="1:8" x14ac:dyDescent="0.15">
      <c r="A21" s="43" t="s">
        <v>16</v>
      </c>
      <c r="B21" s="45"/>
      <c r="C21" s="45"/>
      <c r="D21" s="46"/>
      <c r="E21" s="12"/>
      <c r="F21" s="12"/>
      <c r="G21" s="12"/>
      <c r="H21" s="12"/>
    </row>
    <row r="22" spans="1:8" x14ac:dyDescent="0.15">
      <c r="A22" s="3" t="s">
        <v>18</v>
      </c>
      <c r="B22" s="3" t="s">
        <v>17</v>
      </c>
      <c r="C22" s="16">
        <v>19.5</v>
      </c>
      <c r="D22" s="23">
        <v>19.488112000000001</v>
      </c>
      <c r="E22" s="23">
        <v>19.514594000000002</v>
      </c>
      <c r="F22" s="3">
        <v>19.095503550355037</v>
      </c>
      <c r="G22" s="3">
        <v>18.932222000000003</v>
      </c>
      <c r="H22" s="30">
        <v>18.511886000000004</v>
      </c>
    </row>
    <row r="23" spans="1:8" x14ac:dyDescent="0.15">
      <c r="A23" s="3" t="s">
        <v>19</v>
      </c>
      <c r="B23" s="3" t="s">
        <v>17</v>
      </c>
      <c r="C23" s="16"/>
      <c r="D23" s="3">
        <v>5.5499439999999991</v>
      </c>
      <c r="E23" s="3">
        <v>3.910368000000001</v>
      </c>
      <c r="F23" s="3">
        <v>3.9107590759075919</v>
      </c>
      <c r="G23" s="3">
        <v>3.3666090000000004</v>
      </c>
      <c r="H23" s="3">
        <v>3.3669020000000009</v>
      </c>
    </row>
    <row r="24" spans="1:8" x14ac:dyDescent="0.15">
      <c r="A24" s="3" t="s">
        <v>20</v>
      </c>
      <c r="B24" s="3" t="s">
        <v>21</v>
      </c>
      <c r="C24" s="16">
        <v>3100</v>
      </c>
      <c r="D24" s="23">
        <v>3101.8598999999999</v>
      </c>
      <c r="E24" s="23">
        <v>3100.5892000000013</v>
      </c>
      <c r="F24" s="3">
        <v>3048.8940894089419</v>
      </c>
      <c r="G24" s="3">
        <v>3060.7238000000002</v>
      </c>
      <c r="H24" s="30">
        <v>3009.0577000000003</v>
      </c>
    </row>
    <row r="25" spans="1:8" x14ac:dyDescent="0.15">
      <c r="A25" s="3" t="s">
        <v>22</v>
      </c>
      <c r="B25" s="3" t="s">
        <v>17</v>
      </c>
      <c r="C25" s="16">
        <v>0.65</v>
      </c>
      <c r="D25" s="3">
        <v>0.64966400000000002</v>
      </c>
      <c r="E25" s="3">
        <v>0.64989200000000014</v>
      </c>
      <c r="F25" s="3">
        <v>0.48494049404940498</v>
      </c>
      <c r="G25" s="3">
        <v>0.81605800000000028</v>
      </c>
      <c r="H25" s="3">
        <v>0.65106000000000019</v>
      </c>
    </row>
    <row r="26" spans="1:8" x14ac:dyDescent="0.15">
      <c r="A26" s="3" t="s">
        <v>23</v>
      </c>
      <c r="B26" s="3" t="s">
        <v>17</v>
      </c>
      <c r="C26" s="16"/>
      <c r="D26" s="3">
        <v>0.60558100000000004</v>
      </c>
      <c r="E26" s="3">
        <v>0.45818300000000001</v>
      </c>
      <c r="F26" s="3">
        <v>0.45822882288228828</v>
      </c>
      <c r="G26" s="3">
        <v>0.60297700000000021</v>
      </c>
      <c r="H26" s="3">
        <v>0.60300000000000009</v>
      </c>
    </row>
    <row r="27" spans="1:8" x14ac:dyDescent="0.15">
      <c r="A27" s="3" t="s">
        <v>24</v>
      </c>
      <c r="B27" s="3" t="s">
        <v>17</v>
      </c>
      <c r="C27" s="16">
        <v>0.36</v>
      </c>
      <c r="D27" s="3">
        <v>0.359037</v>
      </c>
      <c r="E27" s="3">
        <v>0.36011500000000007</v>
      </c>
      <c r="F27" s="3">
        <v>0.21013601360136022</v>
      </c>
      <c r="G27" s="3">
        <v>0.51044300000000009</v>
      </c>
      <c r="H27" s="3">
        <v>0.3604480000000001</v>
      </c>
    </row>
    <row r="28" spans="1:8" x14ac:dyDescent="0.15">
      <c r="A28" s="3" t="s">
        <v>6</v>
      </c>
      <c r="B28" s="3" t="s">
        <v>17</v>
      </c>
      <c r="C28" s="16"/>
      <c r="D28" s="3">
        <v>0.42877000000000004</v>
      </c>
      <c r="E28" s="3">
        <v>0.35994000000000004</v>
      </c>
      <c r="F28" s="3">
        <v>0.35997599759976007</v>
      </c>
      <c r="G28" s="3">
        <v>0.42840750000000011</v>
      </c>
      <c r="H28" s="3">
        <v>0.42841000000000007</v>
      </c>
    </row>
    <row r="29" spans="1:8" x14ac:dyDescent="0.15">
      <c r="A29" s="3" t="s">
        <v>25</v>
      </c>
      <c r="B29" s="3" t="s">
        <v>17</v>
      </c>
      <c r="C29" s="16"/>
      <c r="D29" s="3">
        <v>1.2568160000000002</v>
      </c>
      <c r="E29" s="3">
        <v>1.2414720000000001</v>
      </c>
      <c r="F29" s="3">
        <v>1.2415961596159617</v>
      </c>
      <c r="G29" s="3">
        <v>1.2463460000000002</v>
      </c>
      <c r="H29" s="3">
        <v>1.2463680000000001</v>
      </c>
    </row>
    <row r="30" spans="1:8" x14ac:dyDescent="0.15">
      <c r="A30" s="3" t="s">
        <v>26</v>
      </c>
      <c r="B30" s="3" t="s">
        <v>17</v>
      </c>
      <c r="C30" s="16"/>
      <c r="D30" s="3">
        <v>0.65351999999999999</v>
      </c>
      <c r="E30" s="3">
        <v>0.61189000000000004</v>
      </c>
      <c r="F30" s="3">
        <v>0.61195119511951201</v>
      </c>
      <c r="G30" s="3">
        <v>0.66114500000000009</v>
      </c>
      <c r="H30" s="3">
        <v>0.66116000000000008</v>
      </c>
    </row>
    <row r="31" spans="1:8" x14ac:dyDescent="0.15">
      <c r="A31" s="3" t="s">
        <v>27</v>
      </c>
      <c r="B31" s="3" t="s">
        <v>17</v>
      </c>
      <c r="C31" s="16"/>
      <c r="D31" s="3">
        <v>0.30221999999999999</v>
      </c>
      <c r="E31" s="3">
        <v>0.29934000000000005</v>
      </c>
      <c r="F31" s="3">
        <v>0.29936993699369946</v>
      </c>
      <c r="G31" s="3">
        <v>0.28919499999999998</v>
      </c>
      <c r="H31" s="3">
        <v>0.28921000000000002</v>
      </c>
    </row>
    <row r="32" spans="1:8" x14ac:dyDescent="0.15">
      <c r="A32" s="3" t="s">
        <v>28</v>
      </c>
      <c r="B32" s="3" t="s">
        <v>17</v>
      </c>
      <c r="C32" s="16"/>
      <c r="D32" s="3">
        <v>0.95573999999999992</v>
      </c>
      <c r="E32" s="3">
        <v>0.91123000000000021</v>
      </c>
      <c r="F32" s="3">
        <v>0.91132113211321153</v>
      </c>
      <c r="G32" s="3">
        <v>0.95034000000000007</v>
      </c>
      <c r="H32" s="3">
        <v>0.95037000000000016</v>
      </c>
    </row>
    <row r="33" spans="1:8" x14ac:dyDescent="0.15">
      <c r="A33" s="3" t="s">
        <v>29</v>
      </c>
      <c r="B33" s="3" t="s">
        <v>17</v>
      </c>
      <c r="C33" s="16"/>
      <c r="D33" s="3">
        <v>0.85539999999999994</v>
      </c>
      <c r="E33" s="3">
        <v>0.81999000000000011</v>
      </c>
      <c r="F33" s="3">
        <v>0.82007200720072027</v>
      </c>
      <c r="G33" s="3">
        <v>0.84789500000000007</v>
      </c>
      <c r="H33" s="3">
        <v>0.8479199999999999</v>
      </c>
    </row>
    <row r="34" spans="1:8" x14ac:dyDescent="0.15">
      <c r="A34" s="3" t="s">
        <v>30</v>
      </c>
      <c r="B34" s="3" t="s">
        <v>17</v>
      </c>
      <c r="C34" s="16"/>
      <c r="D34" s="3">
        <v>0.248948</v>
      </c>
      <c r="E34" s="3">
        <v>0.24230600000000002</v>
      </c>
      <c r="F34" s="3">
        <v>0.24233023302330237</v>
      </c>
      <c r="G34" s="3">
        <v>0.23092799999999999</v>
      </c>
      <c r="H34" s="3">
        <v>0.230934</v>
      </c>
    </row>
    <row r="35" spans="1:8" x14ac:dyDescent="0.15">
      <c r="A35" s="4" t="s">
        <v>31</v>
      </c>
      <c r="B35" s="4" t="s">
        <v>17</v>
      </c>
      <c r="C35" s="16"/>
      <c r="D35" s="15">
        <v>3.5009479999999997</v>
      </c>
      <c r="E35" s="15">
        <v>3.5215559999999999</v>
      </c>
      <c r="F35" s="15">
        <v>3.5219081908190821</v>
      </c>
      <c r="G35" s="15">
        <v>3.4414279999999993</v>
      </c>
      <c r="H35" s="15">
        <v>3.4416839999999995</v>
      </c>
    </row>
    <row r="36" spans="1:8" x14ac:dyDescent="0.15">
      <c r="A36" s="4" t="s">
        <v>32</v>
      </c>
      <c r="B36" s="4" t="s">
        <v>17</v>
      </c>
      <c r="C36" s="16">
        <v>0.18</v>
      </c>
      <c r="D36" s="22">
        <v>0.17449000000000001</v>
      </c>
      <c r="E36" s="22">
        <v>0.18048600000000001</v>
      </c>
      <c r="F36" s="15">
        <v>0.14550055005500551</v>
      </c>
      <c r="G36" s="15">
        <v>0.20941100000000007</v>
      </c>
      <c r="H36" s="22">
        <v>0.17441200000000004</v>
      </c>
    </row>
    <row r="37" spans="1:8" x14ac:dyDescent="0.15">
      <c r="A37" s="4" t="s">
        <v>37</v>
      </c>
      <c r="B37" s="4" t="s">
        <v>17</v>
      </c>
      <c r="C37" s="16">
        <v>1.08</v>
      </c>
      <c r="D37" s="22">
        <v>1.0796840000000001</v>
      </c>
      <c r="E37" s="22">
        <v>1.0862680000000002</v>
      </c>
      <c r="F37" s="15">
        <v>1.0693749374937496</v>
      </c>
      <c r="G37" s="15">
        <v>1.099394</v>
      </c>
      <c r="H37" s="22">
        <v>1.0824119999999999</v>
      </c>
    </row>
    <row r="38" spans="1:8" x14ac:dyDescent="0.15">
      <c r="A38" s="4" t="s">
        <v>38</v>
      </c>
      <c r="B38" s="4" t="s">
        <v>17</v>
      </c>
      <c r="C38" s="16">
        <v>0.86</v>
      </c>
      <c r="D38" s="22">
        <v>0.8641080000000001</v>
      </c>
      <c r="E38" s="22">
        <v>0.8597760000000001</v>
      </c>
      <c r="F38" s="15">
        <v>0.82085808580858111</v>
      </c>
      <c r="G38" s="15">
        <v>0.90213800000000022</v>
      </c>
      <c r="H38" s="22">
        <v>0.86316400000000015</v>
      </c>
    </row>
    <row r="39" spans="1:8" x14ac:dyDescent="0.15">
      <c r="A39" s="4" t="s">
        <v>39</v>
      </c>
      <c r="B39" s="4" t="s">
        <v>17</v>
      </c>
      <c r="C39" s="16">
        <v>0.72</v>
      </c>
      <c r="D39" s="22">
        <v>0.72036</v>
      </c>
      <c r="E39" s="22">
        <v>0.72036000000000011</v>
      </c>
      <c r="F39" s="15">
        <v>0.68742874287428757</v>
      </c>
      <c r="G39" s="15">
        <v>0.75358000000000003</v>
      </c>
      <c r="H39" s="22">
        <v>0.72060000000000002</v>
      </c>
    </row>
    <row r="40" spans="1:8" x14ac:dyDescent="0.15">
      <c r="A40" s="4" t="s">
        <v>40</v>
      </c>
      <c r="B40" s="4" t="s">
        <v>17</v>
      </c>
      <c r="C40" s="16">
        <v>0.17</v>
      </c>
      <c r="D40" s="22">
        <v>0.21073999999999998</v>
      </c>
      <c r="E40" s="22">
        <v>0.22403000000000001</v>
      </c>
      <c r="F40" s="15">
        <v>0.20505050505050509</v>
      </c>
      <c r="G40" s="15">
        <v>0.21431499999999998</v>
      </c>
      <c r="H40" s="22">
        <v>0.19531999999999999</v>
      </c>
    </row>
    <row r="41" spans="1:8" x14ac:dyDescent="0.15">
      <c r="A41" s="4" t="s">
        <v>41</v>
      </c>
      <c r="B41" s="4" t="s">
        <v>17</v>
      </c>
      <c r="C41" s="16">
        <v>0.84</v>
      </c>
      <c r="D41" s="22">
        <v>0.83979800000000016</v>
      </c>
      <c r="E41" s="22">
        <v>0.83985600000000016</v>
      </c>
      <c r="F41" s="15">
        <v>0.81693769376937708</v>
      </c>
      <c r="G41" s="15">
        <v>0.86700300000000019</v>
      </c>
      <c r="H41" s="22">
        <v>0.84403400000000006</v>
      </c>
    </row>
  </sheetData>
  <mergeCells count="21">
    <mergeCell ref="A8:B8"/>
    <mergeCell ref="A7:B7"/>
    <mergeCell ref="A5:B5"/>
    <mergeCell ref="A6:B6"/>
    <mergeCell ref="A4:B4"/>
    <mergeCell ref="C2:C3"/>
    <mergeCell ref="D2:D3"/>
    <mergeCell ref="A3:B3"/>
    <mergeCell ref="A20:B20"/>
    <mergeCell ref="A21:D21"/>
    <mergeCell ref="A19:B19"/>
    <mergeCell ref="A17:B17"/>
    <mergeCell ref="A18:B18"/>
    <mergeCell ref="A15:B15"/>
    <mergeCell ref="A16:B16"/>
    <mergeCell ref="A13:B13"/>
    <mergeCell ref="A14:B14"/>
    <mergeCell ref="A11:B11"/>
    <mergeCell ref="A12:B12"/>
    <mergeCell ref="A9:B9"/>
    <mergeCell ref="A10:B10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一期</vt:lpstr>
      <vt:lpstr>二期</vt:lpstr>
      <vt:lpstr>三期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Chen</dc:creator>
  <cp:lastModifiedBy>Daniel Chen</cp:lastModifiedBy>
  <dcterms:created xsi:type="dcterms:W3CDTF">2025-11-24T12:12:54Z</dcterms:created>
  <dcterms:modified xsi:type="dcterms:W3CDTF">2025-11-24T13:09:50Z</dcterms:modified>
</cp:coreProperties>
</file>